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zhoujing\mgr\02_景锐培训作业\"/>
    </mc:Choice>
  </mc:AlternateContent>
  <bookViews>
    <workbookView windowWidth="28800" windowHeight="12240"/>
  </bookViews>
  <sheets>
    <sheet name="激励与引导-8月4日前提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B2BAA907170B4C3DAB1A01BC7C161B9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00535" y="10747375"/>
          <a:ext cx="12058650" cy="58007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<sst xmlns="http://schemas.openxmlformats.org/spreadsheetml/2006/main" count="70" uniqueCount="48">
  <si>
    <t>景锐计划【激励与引导】实践作业</t>
  </si>
  <si>
    <t>基础信息</t>
  </si>
  <si>
    <t>姓名</t>
  </si>
  <si>
    <t>工号</t>
  </si>
  <si>
    <t>部门</t>
  </si>
  <si>
    <t>科室</t>
  </si>
  <si>
    <t>岗位</t>
  </si>
  <si>
    <t>上级</t>
  </si>
  <si>
    <t>作业总分</t>
  </si>
  <si>
    <t>上级：进行ABC评级，A-优秀；B-良好；C-欠佳，最终根据评级统一赋分
导师：根据作业情况直接赋分即可</t>
  </si>
  <si>
    <t>周晶</t>
  </si>
  <si>
    <t>0891</t>
  </si>
  <si>
    <t>通信产品线</t>
  </si>
  <si>
    <t>通信协议室</t>
  </si>
  <si>
    <t>副主任</t>
  </si>
  <si>
    <t>刘志丹</t>
  </si>
  <si>
    <t>作业回答区-学员填</t>
  </si>
  <si>
    <t>作业评分区-上级&amp;导师填</t>
  </si>
  <si>
    <r>
      <rPr>
        <b/>
        <sz val="11"/>
        <rFont val="微软雅黑"/>
        <charset val="134"/>
      </rPr>
      <t>第一题（20学分）</t>
    </r>
    <r>
      <rPr>
        <sz val="11"/>
        <color rgb="FFFF0000"/>
        <rFont val="微软雅黑"/>
        <charset val="134"/>
      </rPr>
      <t>做一次人员盘点，将你团队的员工打上标签分类，要求有明确的分类依据（注意隐私安全：用ABC代替员工姓名）</t>
    </r>
  </si>
  <si>
    <t>导师</t>
  </si>
  <si>
    <t>A</t>
  </si>
  <si>
    <t>输入总分</t>
  </si>
  <si>
    <t>分类依据：按“能力高低 + 干事意愿”两维盘点。能力主要看复杂问题解决经验、模块独立 Owner 能力、学习迁移能力和交付质量；意愿主要看主动担责、改进意识、承担关键任务意愿、对团队机制建设的投入度。作业中用员工A/B/C等代替真实姓名。
一、明星型 / 核心骨干（高能高愿）
- 员工A：定向组网骨干，上半年承担自适应、父节点切换、新空口消息合入、扫描时隙组等工作，下半年主动规划32节点、无中心、分裂融合、分层分簇、模块化和自验证。当前诉求是交叉评审、B角能力不足、工作量大。管理重点：授权为组网方向主责，功劳显性化，配置B角与交叉评审，避免“能者多劳”。
- 员工B：协议平台骨干，承担一体化协议平台、DPDK/1Gbps、全定向项目支撑，下半年继续平台收尾与CBB落地。当前主要阻塞是设备不足。管理重点：目标激励 + 资源保障，明确平台化里程碑，不让资源缺口消耗积极性。
- 员工C：全向链路层主力，支撑1253、1227、51392、1315等多项目，同时承担SE、项目支撑和新人带教压力。当前诉求集中在协议平台多次变更、人力紧缺、1320V2.0不熟。管理重点：明确边界、减负和新人培养分层，避免长期高压导致倦怠。
二、高压骨干 / 倦怠风险（高能，意愿受压力影响）
- 员工D：网络层/数据面骨干，有AI学习、序列编排CBB、pktable优化等探索，明确提出评三级和加薪诉求。管理重点：把发展诉求转为可验证贡献，如AI工具化、序列编排CBB、TCP/大流量能力建设，并及时给发展反馈。
- 员工G：资源管理A角，经验强但存在阶段性离岗风险，说话直接、希望被尊重认可。管理重点：支持式沟通，把知识交接定义为团队资产和个人专业价值，不把交接包装成额外负担。
三、青年潜力（低能高愿）
- 员工E：毕业约1年，已接手自适应速率、CQI上报等工作，愿意参与资源方向交接，但资源规划难度大、经验不足。管理重点：阶梯任务、导师带教、短周期验收，先承接中低风险任务。
- 员工H：新入职，适合放在全向链路层主线培养，先从文档、小需求、问题复盘和需求分析切入，同步学习定向共性能力。管理重点：指令式启动，给清晰入口、交付标准和周度反馈。
四、基础执行 / 待提升（能力和主动性均需拉升）
- 员工F：具备无中心、备份节点、时隙控制等基础，但仍需要明确任务边界；诉求是减少出差，保证工作连续性。管理重点：小颗粒任务、明确验收、及时正反馈，先让其在明确子模块上稳定交付，不直接压复杂方案Owner。</t>
  </si>
  <si>
    <t>上级点评：人员盘点维度清晰，能结合能力、意愿、交付压力和现实诉求进行分类，且已用匿名方式保护个人信息。对骨干、高压风险、青年潜力和待提升成员的管理策略有区分，能体现差异化激励和梯队建设意识。建议后续把各类人员对应的月度检查节点、阶段目标和认可方式进一步固化到团队看板中，便于持续跟踪。</t>
  </si>
  <si>
    <t>导师点评：</t>
  </si>
  <si>
    <r>
      <rPr>
        <b/>
        <sz val="11"/>
        <rFont val="微软雅黑"/>
        <charset val="134"/>
      </rPr>
      <t>第二题（10学分）</t>
    </r>
    <r>
      <rPr>
        <sz val="11"/>
        <color rgb="FFFF0000"/>
        <rFont val="微软雅黑"/>
        <charset val="134"/>
      </rPr>
      <t>在景嘉微，你经历过的物质激励失效的场景？分析下原因。</t>
    </r>
  </si>
  <si>
    <t>我经历过的物质激励失效场景主要出现在重点项目高压、长期出差和临时救火之后：如果只是用“后面绩效会考虑”“评奖会体现”来安抚，团队积极性并不会明显提升。因为当前很多人的真实诉求并不是单纯多一点奖金，而是工作条件、边界、公平、成长和被看见。
典型表现：
1. 有人真正缺的是设备和验证环境。比如平台方向没有设备，导致一体化协议平台、CBB、自研网桥验证推进受阻。只讲绩效激励，不能解决“想做但做不了”的问题。
2. 有人困扰的是反复变更和职责边界。比如全向方向多项目并行，协议平台多次调整、不适配其他项目，问题又回到个人身上排查。这时物质激励无法抵消返工和不确定性带来的消耗。
3. 有人需要的是公平分工和能力补位。比如组网骨干提出交叉评审、B角能力不足、工作量大，本质是希望机制上有人分担，而不是继续靠骨干硬扛。
4. 有人诉求是发展通道。比如网络层骨干提出评三级和加薪，如果没有把晋升标准、能力贡献和可见成果讲清楚，加薪预期反而会变成焦虑来源。
失效原因：第一，钱是保健因素，能减少不满，但不能替代尊重、授权、成长和公平；第二，激励与痛点错位，资源不足、需求反复和人力缺口不是奖金能解决的；第三，激励滞后且不透明，员工不知道“为什么给、给多少、何时给”，就难形成正反馈；第四，如果干得多的人长期承担更多风险，物质激励不但不能激励，反而会强化“不公平”的感受。
改进方向：先补公平和资源，再谈奖励。对高压骨干要明确边界、提供设备/人力/评审支持、把贡献在周会和向上汇报中显性化；对潜力成员要给成长路径和阶段认可；对发展诉求强的人，要把职级、薪酬与可验证成果绑定，避免只给模糊承诺。</t>
  </si>
  <si>
    <t>上级点评：能够跳出单纯奖金激励，从资源条件、职责边界、公平感、发展通道和贡献可见性等角度分析物质激励失效原因，案例贴近团队真实场景。改进方向也比较务实，尤其是先解决设备、人力、评审支持等基础约束，再配合绩效和认可激励。建议后续对典型场景形成风险台账，明确哪些诉求由科室协调，哪些需要上级决策。</t>
  </si>
  <si>
    <r>
      <rPr>
        <b/>
        <sz val="11"/>
        <rFont val="微软雅黑"/>
        <charset val="134"/>
      </rPr>
      <t>第三题（10学分）</t>
    </r>
    <r>
      <rPr>
        <sz val="11"/>
        <color rgb="FFFF0000"/>
        <rFont val="微软雅黑"/>
        <charset val="134"/>
      </rPr>
      <t>在你的团队中，7种工具里哪几个适用于你的员工？
要求：明确对照关系，说明你推荐的使用原因以及希望取得的效果。</t>
    </r>
  </si>
  <si>
    <t>输入分数</t>
  </si>
  <si>
    <t>结合团队现状，七种非物质激励工具中，我会重点使用以下组合：
1. 目标激励：适用于员工A、B、C、D。原因是这些成员都承担平台化、组网、全向或网络层关键任务，需要把“忙”转为可验收目标。做法是把员工A的32节点/无中心/分裂融合拆成阶段输出，把员工B的一体化协议平台拆成8月底设计、11月底整合、12月底验收，把员工C的全向支撑和新人带教分层，把员工D的AI/CBB探索转为可展示成果。希望效果：减少临时救火感，让贡献能被检查和复盘。
2. 认可激励：适用于员工A、C、G、E、F。原因是这几类员工都容易“做了但不被看见”：骨干长期承担压力，资源A角做交接容易被理解成额外负担，B角和新人做小任务也需要正反馈。做法是在周会、月度复盘和向上汇报中点名认可具体行为，如“员工A完成组网任务拆解并带B角输出”“员工E完成资源方向一次跟做验证”。希望效果：让成员知道哪些行为会被鼓励。
3. 荣誉激励：适用于员工A、B、D。原因是他们承担的是可沉淀、可复制、对团队有长期价值的工作。做法是围绕“平台化贡献”“CBB沉淀”“自验证标杆”“AI应用实践”设置内部标杆。希望效果：把个人攻坚转化为团队可学习的样板，而不是一次性交付。
4. 发展激励：适用于员工D、E、F、H。员工D关注职级发展，需要看到评三级所需的能力闭环；员工E、F需要通过真实任务提升独立承接能力；员工H需要入职后的成长路线。做法是给每人一条明确成长路径：员工D以AI工具化和网络层V2.0为发展证据，员工E承接资源管理中低风险事项，员工F承接组网方向明确子模块，员工H从全向文档/小需求/复盘切入。希望效果：把“想进步”转化为具体任务。
5. 关爱激励：适用于员工C、G、F、A。原因是这些成员都有高压或现实诉求：员工C多项目支撑，人力紧；员工G有阶段性离岗风险；员工F希望减少出差；员工A反馈工作量大。做法是1对1倾听诉求，明确哪些诉求能立即处理，哪些需要向上协调。希望效果：降低防御情绪，避免成员把困难理解为“没人管”。
6. 竞争激励：谨慎用于员工A、D、E、F。不是制造内耗，而是建立能力导向的健康竞争，比如CBB标杆、质量自验证优秀模块、问题复盘优秀案例。希望效果：让愿意承担的人获得更多机会，同时让B角看到追赶路径。
7. 文化激励：适用于全员。重点宣贯三条团队规则：主动汇报和风险上报、方案/自测试/评审闭环、A角带教和B角真实承接。希望效果：把个人兜底转为机制兜底，让团队从“等负责人判断”转向“先给事实、选项、风险和建议”。</t>
  </si>
  <si>
    <t>上级点评：七种非物质激励工具与团队成员画像匹配较充分，不是机械套用概念，而是能对应到平台化、CBB、自验证、A/B角带教和新人培养等具体工作。目标激励、认可激励、发展激励和关爱激励的使用边界较清楚，也注意到竞争激励要避免内耗。建议下一步把激励工具转化为固定管理动作，如周会认可、月度复盘、里程碑表彰和一对一发展反馈。</t>
  </si>
  <si>
    <r>
      <rPr>
        <b/>
        <sz val="11"/>
        <rFont val="微软雅黑"/>
        <charset val="134"/>
      </rPr>
      <t>第四题（10学分）</t>
    </r>
    <r>
      <rPr>
        <sz val="11"/>
        <color rgb="FFFF0000"/>
        <rFont val="微软雅黑"/>
        <charset val="134"/>
      </rPr>
      <t>你在团队日常管理中用错过激励方式吗？有什么负面影响？现在回想起来哪里有改善空间？</t>
    </r>
  </si>
  <si>
    <t>我过去用错过的一类激励方式，是对骨干习惯性采用“结果 + 责任”的方式：谁能力强、谁更可靠，就把更多复杂任务、跨团队沟通和临时救火压给谁，同时默认口头表扬或年底绩效能弥补压力。对B角和新人，也有过直接给答案、直接纠偏的时候，看似效率高，实际削弱了他们自己判断和承担的机会。
负面影响：
1. 骨干容易感到“能者多劳但支持不足”。员工A提出交叉评审、B角能力不够、工作量大，就是典型信号。
2. 团队形成单点依赖。需求不清、对外争论、质量把关、组网方向事务都容易回到我这里，B角成长慢，A角也难真正减负。
3. 部分成员会把目标理解为“完成领导交代”，而不是主动判断风险、提出方案、闭环问题。
4. 当物质激励或口头肯定不能解决资源、边界、公平问题时，成员会更关注“不公平”，而不是被激励。
改善空间：
1. 对核心骨干，不再只加任务，而是“授权 + 看见 + 减负”：明确方向主责，公开认可贡献，同时配置B角和交叉评审。
2. 对潜力成员，用阶梯式任务替代一次性高压：先给明确小模块、明确验收，再逐步提高复杂度。
3. 对待提升成员，用“任务颗粒 + 检查节点 + 正反馈”替代笼统要求，减少挫败感。
4. 对需求不清事项，少直接给结论，多用问题引导成员先给事实、选项、代价和建议。
5. 在机制上落地两周走动管理、月度周会汇报、里程碑认可，把激励从临时表扬变成可持续管理动作。</t>
  </si>
  <si>
    <t>上级点评：反思比较深入，能够识别过去对骨干依赖过重、对新人直接给答案等管理惯性，并能看到其对团队单点依赖、主动性和公平感的影响。改善措施体现出从个人兜底转向机制兜底的思路，符合当前副主任/负责人角色转型要求。建议后续重点验证两项：A角是否真正承担方向牵头，B角是否有真实任务和可检查输出。</t>
  </si>
  <si>
    <r>
      <rPr>
        <b/>
        <sz val="11"/>
        <rFont val="微软雅黑"/>
        <charset val="134"/>
      </rPr>
      <t>第五题（20学分）</t>
    </r>
    <r>
      <rPr>
        <sz val="11"/>
        <color rgb="FFFF0000"/>
        <rFont val="微软雅黑"/>
        <charset val="134"/>
      </rPr>
      <t>在你的团队中找出一位你最想让其改变某种行为的同事，对其进行“选择架构”设计式“引导”，以实现你的目的。
要求：选择背景澄清，描述你的“设计”过程，以及最终取得的成效。</t>
    </r>
  </si>
  <si>
    <t>我选择员工A作为“选择架构”引导对象。背景是：员工A具备定向组网方向的核心能力，已经承担自适应、父节点切换、扫描时隙组等关键工作，下半年还要面对32节点、无中心、分裂融合、分层分簇等任务。过去团队习惯把组网方向重大问题直接找我确认，员工A更多是执行骨干，而不是方向牵头人。她的真实顾虑也很明确：B角能力不够、交叉评审不足、工作量大。
我希望改变的行为不是“让她多干活”，而是让她愿意以方向负责人的身份做三件事：牵头任务拆解、带B角承接明确子模块、推动交叉评审。我不采用直接说服，而是设计信息环境，让她看到这件事对自己、团队和项目都有价值。
设计过程：
1. 信息接触顺序：先复盘她上半年已经做出的贡献和团队对她专业能力的依赖，再呈现下半年32节点、无中心、分裂融合等客观压力，最后提出“你主导、我压阵、B角承接子任务”的工作结构。这样先建立价值锚点，再谈责任，而不是一上来分派任务。
2. 情绪状态：不在项目争论或任务催办时谈，而是在单独1对1中先听她对工作量、交叉评审和B角能力的真实感受。先认可“工作量大是事实”，再讨论怎么通过机制减负。
3. 在场者设计：先与员工A单独对齐边界，再在周会中让B角和相关成员围绕她拆解的任务汇报，让她获得方向主责的公开位置；同时在向上汇报中体现她对组网方向的关键贡献。
4. 陈述改为问题：避免说“你以后要带方向”，而是问：“下半年组网方向哪些任务必须由你拍板？哪些可以拆给B角？哪些风险需要我或上级协调？”让她自己参与设计边界和任务分配。
具体选择架构：
- 默认路径：组网方向日常技术问题先由员工A判断和拆解，我只在重大风险、跨科室争议和关键方案节点介入。
- 选项设计：她可以选择两类优先牵头任务，如32节点/无中心；B角承接备份节点、时隙控制、维测、自测试等明确子任务。
- 支持条件：每两周走动检查一次带教进展；每月周会公开一次B角进展和A角贡献；需要设备、评审资源或跨团队协同时由我向上协调。
已取得的初步成效：员工A已经把真实顾虑说出来，包括交叉评审不足、B角能力不够、工作量大。这个反馈本身说明沟通从“被安排任务”进入了“共同设计机制”的状态。下一步要把顾虑转成制度动作：明确B角小模块清单、建立交叉评审节奏，并在月度周会中固化认可和检查。</t>
  </si>
  <si>
    <t>上级点评：选择架构设计对象和目标明确，没有简单把员工A推向更多任务，而是围绕方向主责、B角承接和交叉评审重构工作环境。设计过程体现了信息顺序、情绪状态、在场者和问题式引导，能把员工顾虑转化为共同设计机制的入口。后续需继续跟进实际成效，建议补充1-2个量化结果，如B角完成的子模块、交叉评审次数或月度公开认可记录。</t>
  </si>
  <si>
    <r>
      <rPr>
        <b/>
        <sz val="11"/>
        <rFont val="微软雅黑"/>
        <charset val="134"/>
      </rPr>
      <t>第六题（30学分）</t>
    </r>
    <r>
      <rPr>
        <sz val="11"/>
        <color rgb="FFFF0000"/>
        <rFont val="微软雅黑"/>
        <charset val="134"/>
      </rPr>
      <t>将培训所学转化为团队管理的具体行动。按右侧PPT提示进行操作，并记录每一步关键管理动作与员工反馈信息。</t>
    </r>
  </si>
  <si>
    <t>1、人才分类画像</t>
  </si>
  <si>
    <t>正式完成全员人才分类，把每一位员工归入四类画像之中，做好人才盘点。（在第一题完成即可）</t>
  </si>
  <si>
    <t>上级点评：行动转化比较完整，已覆盖人才分类、一对一谈心和工作重新排布，能够把培训内容落到链路层团队的真实任务、人力风险和机制建设中。亮点是将成员诉求与设备资源、A/B角、任务重排、CBB/架构时间保护结合起来，避免停留在口头激励。建议后续按月复盘三类指标：关键任务闭环情况、B角成长进展、骨干压力是否下降，并将风险及时向上同步。</t>
  </si>
  <si>
    <t>2、一对一谈心</t>
  </si>
  <si>
    <t>三十天内完成一对一谈心，多倾听诉求，少单向下达指令。（15学分）</t>
  </si>
  <si>
    <t>已基于2026年8月5日的人员沟通完成第一轮谈心记录。沟通方式不是先下任务，而是按“上半年工作—下半年计划—当前诉求”三步倾听，让成员先表达真实状态。
关键反馈：
- 员工B：平台方向上半年完成一体化协议平台、DPDK/1Gbps、全定向项目支撑；下半年要做平台收尾、认证/虚拟网桥CBB、自研网桥和VPP数据处理框架。反馈的核心困难是没有设备。后续动作：设备诉求纳入风险台账，明确没有设备会影响哪些验证节点。
- 员工C：承担1253、1227、51392、1315等多项目支撑，还要带新员工。反馈协议平台多次更改、不适配其他项目、出现问题需要个人排查，同时对1320V2.0不熟，人力紧。后续动作：全向主线由其牵住，但不把所有项目救火都压给个人；新人从文档、小需求、问题复盘切入分担低风险工作。
- 员工D：上半年做中继转发、单播、组播、维测、AI学习和pktable优化；下半年希望做AI分享、TCP/端到端重传、CLRSP、大流量、32节点规模。反馈诉求是评三级和加薪。后续动作：把发展诉求转成可验证的AI应用、CBB和网络层能力建设成果。
- 员工A：上半年完成自适应、父节点切换、新空口消息合入、扫描时隙组；下半年计划32节点、无中心、分裂融合、分层分簇、模块化、自验证。反馈诉求是交叉评审、B角能力不足、工作量大。后续动作：授权其牵头组网方向，同时给B角真实小任务和交叉评审机制。
- 员工F：上半年支撑软件测评1179、备份节点和时隙控制；下半年计划32节点、无中心、质量申报、自测试、维测、代码评审、分裂融合。反馈希望少出差，以免影响工作连续性。后续动作：优先安排明确子模块和本地可闭环任务，减少无计划出差。
- 员工E：上半年出差较多，已接手自适应速率、CQI上报等；下半年计划形成暗室自适应测试标准流程、出差记录、资源方向交接、质量申报和自测试。反馈自适应和资源规划难度大。后续动作：安排其跟资源A角做中低风险任务，并以周为单位检查输出。
整体结论：成员诉求集中在设备/资源、工作量公平、B角能力、发展通道和减少无效消耗。后续管理动作不能只靠口头鼓励，而要通过资源协调、任务重排、A/B角机制和阶段认可闭环。</t>
  </si>
  <si>
    <t>3、重新排布工作</t>
  </si>
  <si>
    <t>扬长避短均衡工作量，激活整个团队氛围。（15学分）</t>
  </si>
  <si>
    <t>重新排布工作的原则：扬长避短、均衡工作量、打破少数骨干长期负重，把“负责人兜底”调整为“A角牵头、B角承接、负责人关键节点把关”。
一、方向重排
1. 定向组网方向：员工A作为A角/方向主责，牵头32节点、无中心、分裂融合、分层分簇等关键任务拆解；员工F作为B角，承接备份节点、时隙控制、维测、自测试、代码评审等明确子任务。验收方式：两周检查一次子任务输出，月度周会上汇报B角进展。
2. 定向资源管理方向：员工G作为A角，离岗前重点输出资源管理主流程、接口边界、常见问题、验证方法和风险台账；员工E作为B角，承接中低风险事项和测试/记录类工作，不独立承担复杂方案Owner。验收方式：每周检查交接包和跟做任务，9月中旬前做最小闭环评审。
3. 全向链路层方向：员工C牵住1253、51392等重点项目和全向主线；员工H从文档、小需求、问题复盘和1315需求分析切入，逐步分担低风险事项。验收方式：每周看学习记录和一次可检查任务输出。
4. 协议平台/CBB方向：员工B牵头一体化协议平台收尾、认证/虚拟网桥CBB、自研网桥/原生网桥优化和VPP用户态数据处理框架。负责人动作：优先协调设备，避免平台任务因为资源缺口停滞。
5. 网络层/AI与工程能力方向：员工D牵头AI分享、TCP/端到端重传、CLRSP、大流量、32节点规模等探索，把评三级诉求转成可展示、可复用的成果。
6. 我本人：聚焦链路层数据面通用化、总体架构设计、CBB颗粒化、关键评审和风险上报，不再默认承接所有日常拉通和细节定位。
二、配套机制
- 每周固定两个半天保护架构/CBB时间，普通问题走A/B角，只有当天不处理会导致项目停摆的问题才升级。
- 所有重点任务写清责任人、截止时间、验收标准和风险升级路径。
- 周会中增加“贡献显性化”和“B角成长进展”两项，及时认可真实进步。
- 对设备、人力、出差等非个人努力能解决的问题，形成风险台账向上协调。
预期效果：员工A、B、C、D的专业优势被放大但不被无限加压；员工E、F、H获得真实任务和成长路径；资源管理和组网方向降低单点依赖；团队氛围从“谁能干谁多扛”转向“各方向有主责、有人备份、问题可升级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</si>
</sst>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rgb="FFFF0000"/>
      <name val="微软雅黑"/>
      <charset val="134"/>
    </font>
    <font>
      <sz val="10"/>
      <name val="微软雅黑"/>
      <charset val="134"/>
    </font>
    <font>
      <i/>
      <sz val="10"/>
      <color theme="2" tint="-0.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26" applyNumberFormat="0" applyAlignment="0" applyProtection="0">
      <alignment vertical="center"/>
    </xf>
    <xf numFmtId="0" fontId="20" fillId="8" borderId="27" applyNumberFormat="0" applyAlignment="0" applyProtection="0">
      <alignment vertical="center"/>
    </xf>
    <xf numFmtId="0" fontId="21" fillId="8" borderId="26" applyNumberFormat="0" applyAlignment="0" applyProtection="0">
      <alignment vertical="center"/>
    </xf>
    <xf numFmtId="0" fontId="22" fillId="9" borderId="28" applyNumberFormat="0" applyAlignment="0" applyProtection="0">
      <alignment vertical="center"/>
    </xf>
    <xf numFmtId="0" fontId="23" fillId="0" borderId="29" applyNumberFormat="0" applyFill="0" applyAlignment="0" applyProtection="0">
      <alignment vertical="center"/>
    </xf>
    <xf numFmtId="0" fontId="24" fillId="0" borderId="30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top"/>
    </xf>
    <xf numFmtId="0" fontId="3" fillId="3" borderId="5" xfId="0" applyFont="1" applyFill="1" applyBorder="1" applyAlignment="1">
      <alignment horizontal="center" vertical="top"/>
    </xf>
    <xf numFmtId="0" fontId="3" fillId="3" borderId="6" xfId="0" applyFont="1" applyFill="1" applyBorder="1" applyAlignment="1">
      <alignment horizontal="center" vertical="top"/>
    </xf>
    <xf numFmtId="0" fontId="4" fillId="4" borderId="0" xfId="0" applyFont="1" applyFill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top"/>
    </xf>
    <xf numFmtId="0" fontId="2" fillId="5" borderId="5" xfId="0" applyFont="1" applyFill="1" applyBorder="1" applyAlignment="1">
      <alignment horizontal="center" vertical="top"/>
    </xf>
    <xf numFmtId="0" fontId="2" fillId="5" borderId="6" xfId="0" applyFont="1" applyFill="1" applyBorder="1" applyAlignment="1">
      <alignment horizontal="center" vertical="top"/>
    </xf>
    <xf numFmtId="0" fontId="6" fillId="3" borderId="4" xfId="0" applyFont="1" applyFill="1" applyBorder="1" applyAlignment="1">
      <alignment horizontal="left" vertical="top" wrapText="1"/>
    </xf>
    <xf numFmtId="0" fontId="7" fillId="3" borderId="5" xfId="0" applyFont="1" applyFill="1" applyBorder="1" applyAlignment="1">
      <alignment horizontal="left" vertical="top" wrapText="1"/>
    </xf>
    <xf numFmtId="0" fontId="7" fillId="4" borderId="5" xfId="0" applyFont="1" applyFill="1" applyBorder="1" applyAlignment="1">
      <alignment horizontal="center" vertical="top"/>
    </xf>
    <xf numFmtId="0" fontId="7" fillId="4" borderId="6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left" vertical="top" wrapText="1"/>
    </xf>
    <xf numFmtId="0" fontId="8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top"/>
    </xf>
    <xf numFmtId="0" fontId="8" fillId="0" borderId="7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5" xfId="0" applyFont="1" applyFill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8" fillId="0" borderId="5" xfId="0" applyFont="1" applyFill="1" applyBorder="1" applyAlignment="1">
      <alignment horizontal="left" vertical="top"/>
    </xf>
    <xf numFmtId="0" fontId="8" fillId="0" borderId="12" xfId="0" applyFont="1" applyBorder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8" fillId="0" borderId="15" xfId="0" applyFont="1" applyFill="1" applyBorder="1" applyAlignment="1">
      <alignment horizontal="left" vertical="top" wrapText="1"/>
    </xf>
    <xf numFmtId="0" fontId="9" fillId="0" borderId="16" xfId="0" applyFont="1" applyFill="1" applyBorder="1" applyAlignment="1">
      <alignment horizontal="center" vertical="top"/>
    </xf>
    <xf numFmtId="0" fontId="8" fillId="0" borderId="15" xfId="0" applyFont="1" applyFill="1" applyBorder="1" applyAlignment="1">
      <alignment horizontal="left" vertical="top"/>
    </xf>
    <xf numFmtId="0" fontId="8" fillId="0" borderId="17" xfId="0" applyFont="1" applyFill="1" applyBorder="1" applyAlignment="1">
      <alignment horizontal="left" vertical="top"/>
    </xf>
    <xf numFmtId="0" fontId="9" fillId="0" borderId="18" xfId="0" applyFont="1" applyFill="1" applyBorder="1" applyAlignment="1">
      <alignment horizontal="center" vertical="top"/>
    </xf>
    <xf numFmtId="0" fontId="10" fillId="0" borderId="4" xfId="0" applyFont="1" applyBorder="1" applyAlignment="1">
      <alignment horizontal="left" vertical="top" wrapText="1"/>
    </xf>
    <xf numFmtId="0" fontId="0" fillId="0" borderId="19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8" fillId="0" borderId="5" xfId="0" applyFont="1" applyBorder="1" applyAlignment="1">
      <alignment horizontal="left" vertical="top" wrapText="1"/>
    </xf>
    <xf numFmtId="0" fontId="10" fillId="0" borderId="20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0" fontId="8" fillId="0" borderId="21" xfId="0" applyFont="1" applyFill="1" applyBorder="1" applyAlignment="1">
      <alignment horizontal="left" vertical="top"/>
    </xf>
    <xf numFmtId="0" fontId="9" fillId="0" borderId="22" xfId="0" applyFont="1" applyFill="1" applyBorder="1" applyAlignment="1">
      <alignment horizontal="center" vertical="top"/>
    </xf>
    <xf numFmtId="0" fontId="5" fillId="0" borderId="5" xfId="0" applyFont="1" applyBorder="1" applyAlignment="1" quotePrefix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5"/>
  <sheetViews>
    <sheetView showGridLines="0" tabSelected="1" zoomScale="85" zoomScaleNormal="85" zoomScaleSheetLayoutView="60" workbookViewId="0">
      <pane ySplit="5" topLeftCell="A38" activePane="bottomLeft" state="frozen"/>
      <selection/>
      <selection pane="bottomLeft" activeCell="H40" sqref="H40:H45"/>
    </sheetView>
  </sheetViews>
  <sheetFormatPr defaultColWidth="9" defaultRowHeight="13.5"/>
  <cols>
    <col min="1" max="1" width="18.5" customWidth="1"/>
    <col min="2" max="2" width="17.375" customWidth="1"/>
    <col min="3" max="3" width="20.4333333333333" customWidth="1"/>
    <col min="4" max="4" width="18.125" customWidth="1"/>
    <col min="5" max="5" width="18.25" customWidth="1"/>
    <col min="6" max="6" width="16.6166666666667" customWidth="1"/>
    <col min="7" max="7" width="18.375" customWidth="1"/>
    <col min="8" max="9" width="14.25" customWidth="1"/>
  </cols>
  <sheetData>
    <row r="1" s="1" customFormat="1" ht="33.75" customHeight="1" spans="1:16">
      <c r="A1" s="2" t="s">
        <v>0</v>
      </c>
      <c r="B1" s="3"/>
      <c r="C1" s="3"/>
      <c r="D1" s="3"/>
      <c r="E1" s="3"/>
      <c r="F1" s="3"/>
      <c r="G1" s="3"/>
      <c r="H1" s="3"/>
      <c r="I1" s="4"/>
    </row>
    <row r="2" s="1" customFormat="1" ht="19" customHeight="1" spans="1:16">
      <c r="A2" s="5" t="s">
        <v>1</v>
      </c>
      <c r="B2" s="6"/>
      <c r="C2" s="6"/>
      <c r="D2" s="6"/>
      <c r="E2" s="6"/>
      <c r="F2" s="6"/>
      <c r="G2" s="6"/>
      <c r="H2" s="6"/>
      <c r="I2" s="7"/>
    </row>
    <row r="3" s="1" customFormat="1" ht="16.5" spans="1:16">
      <c r="A3" s="8" t="s">
        <v>2</v>
      </c>
      <c r="B3" s="9"/>
      <c r="C3" s="9" t="s">
        <v>3</v>
      </c>
      <c r="D3" s="9" t="s">
        <v>4</v>
      </c>
      <c r="E3" s="9"/>
      <c r="F3" s="9" t="s">
        <v>5</v>
      </c>
      <c r="G3" s="9" t="s">
        <v>6</v>
      </c>
      <c r="H3" s="9" t="s">
        <v>7</v>
      </c>
      <c r="I3" s="10" t="s">
        <v>8</v>
      </c>
      <c r="J3" s="11" t="s">
        <v>9</v>
      </c>
      <c r="K3" s="11"/>
      <c r="L3" s="11"/>
      <c r="M3" s="11"/>
      <c r="N3" s="11"/>
      <c r="O3" s="11"/>
      <c r="P3" s="11"/>
    </row>
    <row r="4" s="1" customFormat="1" ht="16.5" spans="1:16">
      <c r="A4" s="12" t="s">
        <v>10</v>
      </c>
      <c r="B4" s="13"/>
      <c r="C4" s="57" t="s">
        <v>11</v>
      </c>
      <c r="D4" s="15" t="s">
        <v>12</v>
      </c>
      <c r="E4" s="16"/>
      <c r="F4" s="17" t="s">
        <v>13</v>
      </c>
      <c r="G4" s="17" t="s">
        <v>14</v>
      </c>
      <c r="H4" s="17" t="s">
        <v>15</v>
      </c>
      <c r="I4" s="18"/>
      <c r="J4" s="11"/>
      <c r="K4" s="11"/>
      <c r="L4" s="11"/>
      <c r="M4" s="11"/>
      <c r="N4" s="11"/>
      <c r="O4" s="11"/>
      <c r="P4" s="11"/>
    </row>
    <row r="5" s="1" customFormat="1" ht="24" customHeight="1" spans="1:16">
      <c r="A5" s="5" t="s">
        <v>16</v>
      </c>
      <c r="B5" s="6"/>
      <c r="C5" s="6"/>
      <c r="D5" s="6"/>
      <c r="E5" s="6"/>
      <c r="F5" s="6"/>
      <c r="G5" s="6"/>
      <c r="H5" s="19" t="s">
        <v>17</v>
      </c>
      <c r="I5" s="20"/>
      <c r="J5" s="11"/>
      <c r="K5" s="11"/>
      <c r="L5" s="11"/>
      <c r="M5" s="11"/>
      <c r="N5" s="11"/>
      <c r="O5" s="11"/>
      <c r="P5" s="11"/>
    </row>
    <row r="6" s="1" customFormat="1" ht="20" customHeight="1" spans="1:16">
      <c r="A6" s="21" t="s">
        <v>18</v>
      </c>
      <c r="B6" s="22"/>
      <c r="C6" s="22"/>
      <c r="D6" s="22"/>
      <c r="E6" s="22"/>
      <c r="F6" s="22"/>
      <c r="G6" s="22"/>
      <c r="H6" s="23" t="s">
        <v>7</v>
      </c>
      <c r="I6" s="24" t="s">
        <v>19</v>
      </c>
    </row>
    <row r="7" s="1" customFormat="1" ht="22" customHeight="1" spans="1:16">
      <c r="A7" s="25"/>
      <c r="B7" s="22"/>
      <c r="C7" s="22"/>
      <c r="D7" s="22"/>
      <c r="E7" s="22"/>
      <c r="F7" s="22"/>
      <c r="G7" s="22"/>
      <c r="H7" s="26" t="s">
        <v>20</v>
      </c>
      <c r="I7" s="27" t="s">
        <v>21</v>
      </c>
    </row>
    <row r="8" s="1" customFormat="1" ht="105" customHeight="1" spans="1:16">
      <c r="A8" s="28" t="s">
        <v>22</v>
      </c>
      <c r="B8" s="29"/>
      <c r="C8" s="29"/>
      <c r="D8" s="29"/>
      <c r="E8" s="29"/>
      <c r="F8" s="29"/>
      <c r="G8" s="30"/>
      <c r="H8" s="31" t="s">
        <v>23</v>
      </c>
      <c r="I8" s="27" t="s">
        <v>24</v>
      </c>
    </row>
    <row r="9" s="1" customFormat="1" ht="105" customHeight="1" spans="1:16">
      <c r="A9" s="32"/>
      <c r="B9" s="33"/>
      <c r="C9" s="33"/>
      <c r="D9" s="33"/>
      <c r="E9" s="33"/>
      <c r="F9" s="33"/>
      <c r="G9" s="34"/>
      <c r="H9" s="35"/>
      <c r="I9" s="27"/>
    </row>
    <row r="10" s="1" customFormat="1" ht="133" customHeight="1" spans="1:16">
      <c r="A10" s="32"/>
      <c r="B10" s="33"/>
      <c r="C10" s="33"/>
      <c r="D10" s="33"/>
      <c r="E10" s="33"/>
      <c r="F10" s="33"/>
      <c r="G10" s="34"/>
      <c r="H10" s="35"/>
      <c r="I10" s="27"/>
    </row>
    <row r="11" s="1" customFormat="1" ht="102" customHeight="1" spans="1:16">
      <c r="A11" s="36"/>
      <c r="B11" s="37"/>
      <c r="C11" s="37"/>
      <c r="D11" s="37"/>
      <c r="E11" s="37"/>
      <c r="F11" s="37"/>
      <c r="G11" s="38"/>
      <c r="H11" s="35"/>
      <c r="I11" s="27"/>
    </row>
    <row r="12" s="1" customFormat="1" ht="16.5" spans="1:16">
      <c r="A12" s="21" t="s">
        <v>25</v>
      </c>
      <c r="B12" s="22"/>
      <c r="C12" s="22"/>
      <c r="D12" s="22"/>
      <c r="E12" s="22"/>
      <c r="F12" s="22"/>
      <c r="G12" s="22"/>
      <c r="H12" s="23" t="s">
        <v>7</v>
      </c>
      <c r="I12" s="24" t="s">
        <v>19</v>
      </c>
    </row>
    <row r="13" s="1" customFormat="1" ht="22" customHeight="1" spans="1:16">
      <c r="A13" s="25"/>
      <c r="B13" s="22"/>
      <c r="C13" s="22"/>
      <c r="D13" s="22"/>
      <c r="E13" s="22"/>
      <c r="F13" s="22"/>
      <c r="G13" s="22"/>
      <c r="H13" s="26" t="s">
        <v>20</v>
      </c>
      <c r="I13" s="27" t="s">
        <v>21</v>
      </c>
    </row>
    <row r="14" s="1" customFormat="1" ht="105" customHeight="1" spans="1:16">
      <c r="A14" s="28" t="s">
        <v>26</v>
      </c>
      <c r="B14" s="39"/>
      <c r="C14" s="39"/>
      <c r="D14" s="39"/>
      <c r="E14" s="39"/>
      <c r="F14" s="39"/>
      <c r="G14" s="40"/>
      <c r="H14" s="31" t="s">
        <v>27</v>
      </c>
      <c r="I14" s="27"/>
    </row>
    <row r="15" s="1" customFormat="1" ht="225" customHeight="1" spans="1:16">
      <c r="A15" s="41"/>
      <c r="B15" s="42"/>
      <c r="C15" s="42"/>
      <c r="D15" s="42"/>
      <c r="E15" s="42"/>
      <c r="F15" s="42"/>
      <c r="G15" s="43"/>
      <c r="H15" s="35"/>
      <c r="I15" s="27"/>
    </row>
    <row r="16" s="1" customFormat="1" ht="24" customHeight="1" spans="1:16">
      <c r="A16" s="21" t="s">
        <v>28</v>
      </c>
      <c r="B16" s="22"/>
      <c r="C16" s="22"/>
      <c r="D16" s="22"/>
      <c r="E16" s="22"/>
      <c r="F16" s="22"/>
      <c r="G16" s="22"/>
      <c r="H16" s="23" t="s">
        <v>7</v>
      </c>
      <c r="I16" s="24" t="s">
        <v>19</v>
      </c>
    </row>
    <row r="17" s="1" customFormat="1" ht="28" customHeight="1" spans="1:9">
      <c r="A17" s="25"/>
      <c r="B17" s="22"/>
      <c r="C17" s="22"/>
      <c r="D17" s="22"/>
      <c r="E17" s="22"/>
      <c r="F17" s="22"/>
      <c r="G17" s="22"/>
      <c r="H17" s="26" t="s">
        <v>20</v>
      </c>
      <c r="I17" s="27" t="s">
        <v>29</v>
      </c>
    </row>
    <row r="18" s="1" customFormat="1" ht="110" customHeight="1" spans="1:9">
      <c r="A18" s="28" t="s">
        <v>30</v>
      </c>
      <c r="B18" s="29"/>
      <c r="C18" s="29"/>
      <c r="D18" s="29"/>
      <c r="E18" s="29"/>
      <c r="F18" s="29"/>
      <c r="G18" s="30"/>
      <c r="H18" s="44" t="s">
        <v>31</v>
      </c>
      <c r="I18" s="45"/>
    </row>
    <row r="19" s="1" customFormat="1" ht="110" customHeight="1" spans="1:9">
      <c r="A19" s="32"/>
      <c r="B19" s="33"/>
      <c r="C19" s="33"/>
      <c r="D19" s="33"/>
      <c r="E19" s="33"/>
      <c r="F19" s="33"/>
      <c r="G19" s="34"/>
      <c r="H19" s="46"/>
      <c r="I19" s="45"/>
    </row>
    <row r="20" s="1" customFormat="1" ht="110" customHeight="1" spans="1:9">
      <c r="A20" s="36"/>
      <c r="B20" s="37"/>
      <c r="C20" s="37"/>
      <c r="D20" s="37"/>
      <c r="E20" s="37"/>
      <c r="F20" s="37"/>
      <c r="G20" s="38"/>
      <c r="H20" s="47"/>
      <c r="I20" s="48"/>
    </row>
    <row r="21" s="1" customFormat="1" ht="16.5" spans="1:9">
      <c r="A21" s="21" t="s">
        <v>32</v>
      </c>
      <c r="B21" s="22"/>
      <c r="C21" s="22"/>
      <c r="D21" s="22"/>
      <c r="E21" s="22"/>
      <c r="F21" s="22"/>
      <c r="G21" s="22"/>
      <c r="H21" s="23" t="s">
        <v>7</v>
      </c>
      <c r="I21" s="24" t="s">
        <v>19</v>
      </c>
    </row>
    <row r="22" s="1" customFormat="1" ht="32" customHeight="1" spans="1:9">
      <c r="A22" s="25"/>
      <c r="B22" s="22"/>
      <c r="C22" s="22"/>
      <c r="D22" s="22"/>
      <c r="E22" s="22"/>
      <c r="F22" s="22"/>
      <c r="G22" s="22"/>
      <c r="H22" s="26" t="s">
        <v>20</v>
      </c>
      <c r="I22" s="27" t="s">
        <v>29</v>
      </c>
    </row>
    <row r="23" s="1" customFormat="1" ht="82" customHeight="1" spans="1:9">
      <c r="A23" s="28" t="s">
        <v>33</v>
      </c>
      <c r="B23" s="29"/>
      <c r="C23" s="29"/>
      <c r="D23" s="29"/>
      <c r="E23" s="29"/>
      <c r="F23" s="29"/>
      <c r="G23" s="30"/>
      <c r="H23" s="31" t="s">
        <v>34</v>
      </c>
      <c r="I23" s="27" t="s">
        <v>24</v>
      </c>
    </row>
    <row r="24" s="1" customFormat="1" ht="82" customHeight="1" spans="1:9">
      <c r="A24" s="32"/>
      <c r="B24" s="33"/>
      <c r="C24" s="33"/>
      <c r="D24" s="33"/>
      <c r="E24" s="33"/>
      <c r="F24" s="33"/>
      <c r="G24" s="34"/>
      <c r="H24" s="35"/>
      <c r="I24" s="27"/>
    </row>
    <row r="25" s="1" customFormat="1" ht="82" customHeight="1" spans="1:9">
      <c r="A25" s="32"/>
      <c r="B25" s="33"/>
      <c r="C25" s="33"/>
      <c r="D25" s="33"/>
      <c r="E25" s="33"/>
      <c r="F25" s="33"/>
      <c r="G25" s="34"/>
      <c r="H25" s="35"/>
      <c r="I25" s="27"/>
    </row>
    <row r="26" s="1" customFormat="1" ht="16" customHeight="1" spans="1:9">
      <c r="A26" s="32"/>
      <c r="B26" s="33"/>
      <c r="C26" s="33"/>
      <c r="D26" s="33"/>
      <c r="E26" s="33"/>
      <c r="F26" s="33"/>
      <c r="G26" s="34"/>
      <c r="H26" s="35"/>
      <c r="I26" s="27"/>
    </row>
    <row r="27" s="1" customFormat="1" ht="17" customHeight="1" spans="1:9">
      <c r="A27" s="32"/>
      <c r="B27" s="33"/>
      <c r="C27" s="33"/>
      <c r="D27" s="33"/>
      <c r="E27" s="33"/>
      <c r="F27" s="33"/>
      <c r="G27" s="34"/>
      <c r="H27" s="35"/>
      <c r="I27" s="27"/>
    </row>
    <row r="28" s="1" customFormat="1" ht="14" customHeight="1" spans="1:9">
      <c r="A28" s="36"/>
      <c r="B28" s="37"/>
      <c r="C28" s="37"/>
      <c r="D28" s="37"/>
      <c r="E28" s="37"/>
      <c r="F28" s="37"/>
      <c r="G28" s="38"/>
      <c r="H28" s="35"/>
      <c r="I28" s="27"/>
    </row>
    <row r="29" s="1" customFormat="1" ht="16.5" spans="1:9">
      <c r="A29" s="21" t="s">
        <v>35</v>
      </c>
      <c r="B29" s="22"/>
      <c r="C29" s="22"/>
      <c r="D29" s="22"/>
      <c r="E29" s="22"/>
      <c r="F29" s="22"/>
      <c r="G29" s="22"/>
      <c r="H29" s="23" t="s">
        <v>7</v>
      </c>
      <c r="I29" s="24" t="s">
        <v>19</v>
      </c>
    </row>
    <row r="30" s="1" customFormat="1" ht="36" customHeight="1" spans="1:9">
      <c r="A30" s="25"/>
      <c r="B30" s="22"/>
      <c r="C30" s="22"/>
      <c r="D30" s="22"/>
      <c r="E30" s="22"/>
      <c r="F30" s="22"/>
      <c r="G30" s="22"/>
      <c r="H30" s="26" t="s">
        <v>20</v>
      </c>
      <c r="I30" s="27" t="s">
        <v>29</v>
      </c>
    </row>
    <row r="31" s="1" customFormat="1" ht="90" customHeight="1" spans="1:9">
      <c r="A31" s="28" t="s">
        <v>36</v>
      </c>
      <c r="B31" s="29"/>
      <c r="C31" s="29"/>
      <c r="D31" s="29"/>
      <c r="E31" s="29"/>
      <c r="F31" s="29"/>
      <c r="G31" s="30"/>
      <c r="H31" s="31" t="s">
        <v>37</v>
      </c>
      <c r="I31" s="27"/>
    </row>
    <row r="32" s="1" customFormat="1" ht="90" customHeight="1" spans="1:9">
      <c r="A32" s="32"/>
      <c r="B32" s="33"/>
      <c r="C32" s="33"/>
      <c r="D32" s="33"/>
      <c r="E32" s="33"/>
      <c r="F32" s="33"/>
      <c r="G32" s="34"/>
      <c r="H32" s="35"/>
      <c r="I32" s="27"/>
    </row>
    <row r="33" s="1" customFormat="1" ht="90" customHeight="1" spans="1:16">
      <c r="A33" s="32"/>
      <c r="B33" s="33"/>
      <c r="C33" s="33"/>
      <c r="D33" s="33"/>
      <c r="E33" s="33"/>
      <c r="F33" s="33"/>
      <c r="G33" s="34"/>
      <c r="H33" s="35"/>
      <c r="I33" s="27"/>
    </row>
    <row r="34" s="1" customFormat="1" ht="90" customHeight="1" spans="1:16">
      <c r="A34" s="32"/>
      <c r="B34" s="33"/>
      <c r="C34" s="33"/>
      <c r="D34" s="33"/>
      <c r="E34" s="33"/>
      <c r="F34" s="33"/>
      <c r="G34" s="34"/>
      <c r="H34" s="35"/>
      <c r="I34" s="27"/>
    </row>
    <row r="35" s="1" customFormat="1" ht="18" customHeight="1" spans="1:16">
      <c r="A35" s="32"/>
      <c r="B35" s="33"/>
      <c r="C35" s="33"/>
      <c r="D35" s="33"/>
      <c r="E35" s="33"/>
      <c r="F35" s="33"/>
      <c r="G35" s="34"/>
      <c r="H35" s="35"/>
      <c r="I35" s="27"/>
    </row>
    <row r="36" s="1" customFormat="1" ht="14" customHeight="1" spans="1:16">
      <c r="A36" s="32"/>
      <c r="B36" s="33"/>
      <c r="C36" s="33"/>
      <c r="D36" s="33"/>
      <c r="E36" s="33"/>
      <c r="F36" s="33"/>
      <c r="G36" s="34"/>
      <c r="H36" s="35"/>
      <c r="I36" s="27"/>
    </row>
    <row r="37" s="1" customFormat="1" ht="17" customHeight="1" spans="1:16">
      <c r="A37" s="32"/>
      <c r="B37" s="33"/>
      <c r="C37" s="33"/>
      <c r="D37" s="33"/>
      <c r="E37" s="33"/>
      <c r="F37" s="33"/>
      <c r="G37" s="34"/>
      <c r="H37" s="35"/>
      <c r="I37" s="27"/>
    </row>
    <row r="38" s="1" customFormat="1" ht="21" customHeight="1" spans="1:16">
      <c r="A38" s="21" t="s">
        <v>38</v>
      </c>
      <c r="B38" s="22"/>
      <c r="C38" s="22"/>
      <c r="D38" s="22"/>
      <c r="E38" s="22"/>
      <c r="F38" s="22"/>
      <c r="G38" s="22"/>
      <c r="H38" s="23" t="s">
        <v>7</v>
      </c>
      <c r="I38" s="24" t="s">
        <v>19</v>
      </c>
    </row>
    <row r="39" s="1" customFormat="1" ht="23" customHeight="1" spans="1:16">
      <c r="A39" s="25"/>
      <c r="B39" s="22"/>
      <c r="C39" s="22"/>
      <c r="D39" s="22"/>
      <c r="E39" s="22"/>
      <c r="F39" s="22"/>
      <c r="G39" s="22"/>
      <c r="H39" s="26" t="s">
        <v>20</v>
      </c>
      <c r="I39" s="27" t="s">
        <v>29</v>
      </c>
    </row>
    <row r="40" s="1" customFormat="1" ht="21" customHeight="1" spans="1:16">
      <c r="A40" s="49" t="s">
        <v>39</v>
      </c>
      <c r="B40" s="22" t="s">
        <v>40</v>
      </c>
      <c r="C40" s="22"/>
      <c r="D40" s="22"/>
      <c r="E40" s="22"/>
      <c r="F40" s="22"/>
      <c r="G40" s="22"/>
      <c r="H40" s="31" t="s">
        <v>41</v>
      </c>
      <c r="I40" s="27" t="s">
        <v>24</v>
      </c>
      <c r="J40" s="50" t="str">
        <f>_xlfn.DISPIMG("ID_B2BAA907170B4C3DAB1A01BC7C161B99",1)</f>
        <v>=DISPIMG("ID_B2BAA907170B4C3DAB1A01BC7C161B99",1)</v>
      </c>
      <c r="K40" s="51"/>
      <c r="L40" s="51"/>
      <c r="M40" s="51"/>
      <c r="N40" s="51"/>
      <c r="O40" s="51"/>
      <c r="P40" s="51"/>
    </row>
    <row r="41" s="1" customFormat="1" spans="1:16">
      <c r="A41" s="49"/>
      <c r="B41" s="22"/>
      <c r="C41" s="22"/>
      <c r="D41" s="22"/>
      <c r="E41" s="22"/>
      <c r="F41" s="22"/>
      <c r="G41" s="22"/>
      <c r="H41" s="35"/>
      <c r="I41" s="27"/>
      <c r="J41" s="50"/>
      <c r="K41" s="51"/>
      <c r="L41" s="51"/>
      <c r="M41" s="51"/>
      <c r="N41" s="51"/>
      <c r="O41" s="51"/>
      <c r="P41" s="51"/>
    </row>
    <row r="42" s="1" customFormat="1" ht="22" customHeight="1" spans="1:16">
      <c r="A42" s="49" t="s">
        <v>42</v>
      </c>
      <c r="B42" s="22" t="s">
        <v>43</v>
      </c>
      <c r="C42" s="22"/>
      <c r="D42" s="22"/>
      <c r="E42" s="22"/>
      <c r="F42" s="22"/>
      <c r="G42" s="22"/>
      <c r="H42" s="35"/>
      <c r="I42" s="27"/>
      <c r="J42" s="50"/>
      <c r="K42" s="51"/>
      <c r="L42" s="51"/>
      <c r="M42" s="51"/>
      <c r="N42" s="51"/>
      <c r="O42" s="51"/>
      <c r="P42" s="51"/>
    </row>
    <row r="43" s="1" customFormat="1" ht="326" customHeight="1" spans="1:16">
      <c r="A43" s="49"/>
      <c r="B43" s="52" t="s">
        <v>44</v>
      </c>
      <c r="C43" s="52"/>
      <c r="D43" s="52"/>
      <c r="E43" s="52"/>
      <c r="F43" s="52"/>
      <c r="G43" s="52"/>
      <c r="H43" s="35"/>
      <c r="I43" s="27"/>
      <c r="J43" s="50"/>
      <c r="K43" s="51"/>
      <c r="L43" s="51"/>
      <c r="M43" s="51"/>
      <c r="N43" s="51"/>
      <c r="O43" s="51"/>
      <c r="P43" s="51"/>
    </row>
    <row r="44" s="1" customFormat="1" ht="22" customHeight="1" spans="1:16">
      <c r="A44" s="49" t="s">
        <v>45</v>
      </c>
      <c r="B44" s="22" t="s">
        <v>46</v>
      </c>
      <c r="C44" s="22"/>
      <c r="D44" s="22"/>
      <c r="E44" s="22"/>
      <c r="F44" s="22"/>
      <c r="G44" s="22"/>
      <c r="H44" s="35"/>
      <c r="I44" s="27"/>
      <c r="J44" s="50"/>
      <c r="K44" s="51"/>
      <c r="L44" s="51"/>
      <c r="M44" s="51"/>
      <c r="N44" s="51"/>
      <c r="O44" s="51"/>
      <c r="P44" s="51"/>
    </row>
    <row r="45" s="1" customFormat="1" ht="409" customHeight="1" spans="1:16">
      <c r="A45" s="53"/>
      <c r="B45" s="54" t="s">
        <v>47</v>
      </c>
      <c r="C45" s="54"/>
      <c r="D45" s="54"/>
      <c r="E45" s="54"/>
      <c r="F45" s="54"/>
      <c r="G45" s="54"/>
      <c r="H45" s="55"/>
      <c r="I45" s="56"/>
      <c r="J45" s="50"/>
      <c r="K45" s="51"/>
      <c r="L45" s="51"/>
      <c r="M45" s="51"/>
      <c r="N45" s="51"/>
      <c r="O45" s="51"/>
      <c r="P45" s="51"/>
    </row>
  </sheetData>
  <mergeCells count="41">
    <mergeCell ref="A1:I1"/>
    <mergeCell ref="A2:I2"/>
    <mergeCell ref="A3:B3"/>
    <mergeCell ref="D3:E3"/>
    <mergeCell ref="A4:B4"/>
    <mergeCell ref="D4:E4"/>
    <mergeCell ref="A5:G5"/>
    <mergeCell ref="H5:I5"/>
    <mergeCell ref="B42:G42"/>
    <mergeCell ref="B43:G43"/>
    <mergeCell ref="B44:G44"/>
    <mergeCell ref="B45:G45"/>
    <mergeCell ref="A40:A41"/>
    <mergeCell ref="A42:A43"/>
    <mergeCell ref="A44:A45"/>
    <mergeCell ref="H8:H11"/>
    <mergeCell ref="H14:H15"/>
    <mergeCell ref="H18:H20"/>
    <mergeCell ref="H23:H28"/>
    <mergeCell ref="H31:H37"/>
    <mergeCell ref="H40:H45"/>
    <mergeCell ref="I8:I11"/>
    <mergeCell ref="I14:I15"/>
    <mergeCell ref="I18:I20"/>
    <mergeCell ref="I23:I28"/>
    <mergeCell ref="I31:I37"/>
    <mergeCell ref="I40:I45"/>
    <mergeCell ref="A6:G7"/>
    <mergeCell ref="A12:G13"/>
    <mergeCell ref="A8:G11"/>
    <mergeCell ref="A16:G17"/>
    <mergeCell ref="A14:G15"/>
    <mergeCell ref="A21:G22"/>
    <mergeCell ref="A18:G20"/>
    <mergeCell ref="A29:G30"/>
    <mergeCell ref="A23:G28"/>
    <mergeCell ref="A38:G39"/>
    <mergeCell ref="A31:G37"/>
    <mergeCell ref="B40:G41"/>
    <mergeCell ref="J40:P45"/>
    <mergeCell ref="J3:P5"/>
  </mergeCells>
  <printOptions horizontalCentered="1" verticalCentered="1" gridLines="1"/>
  <pageMargins left="0.357638888888889" right="0.357638888888889" top="0.409027777777778" bottom="0.409027777777778" header="0.10625" footer="0.10625"/>
  <pageSetup paperSize="9" scale="84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激励与引导-8月4日前提交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息心</cp:lastModifiedBy>
  <dcterms:created xsi:type="dcterms:W3CDTF">2026-04-30T02:34:00Z</dcterms:created>
  <dcterms:modified xsi:type="dcterms:W3CDTF">2026-08-07T09:11:55Z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8EF80EF00C2B437B8A5BCB50C45EF759_13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